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blo\Desktop\GitCorrigido\Automatiza_Verificacao_Excel-Sistema_Alerta_Emails\"/>
    </mc:Choice>
  </mc:AlternateContent>
  <xr:revisionPtr revIDLastSave="0" documentId="13_ncr:1_{BE93D11E-3F7B-446A-8F7D-27AD65371C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cencas" sheetId="1" r:id="rId1"/>
    <sheet name="Certificados" sheetId="4" r:id="rId2"/>
    <sheet name="Dominios" sheetId="5" r:id="rId3"/>
    <sheet name="Variaveis" sheetId="2" r:id="rId4"/>
    <sheet name="DiasParaVencer" sheetId="6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9" i="1" l="1"/>
  <c r="C9" i="6" s="1"/>
  <c r="H9" i="1"/>
  <c r="F9" i="1"/>
  <c r="A13" i="6"/>
  <c r="A14" i="6"/>
  <c r="A15" i="6"/>
  <c r="A12" i="6"/>
  <c r="A10" i="6"/>
  <c r="A11" i="6"/>
  <c r="A3" i="6"/>
  <c r="A4" i="6"/>
  <c r="A5" i="6"/>
  <c r="A6" i="6"/>
  <c r="A7" i="6"/>
  <c r="A8" i="6"/>
  <c r="A2" i="6"/>
  <c r="I3" i="4" l="1"/>
  <c r="C11" i="6" s="1"/>
  <c r="H3" i="4"/>
  <c r="F3" i="4"/>
  <c r="I3" i="5"/>
  <c r="C13" i="6" s="1"/>
  <c r="I4" i="5"/>
  <c r="C14" i="6" s="1"/>
  <c r="I5" i="5"/>
  <c r="C15" i="6" s="1"/>
  <c r="H3" i="5"/>
  <c r="H4" i="5"/>
  <c r="H5" i="5"/>
  <c r="F3" i="5"/>
  <c r="F4" i="5"/>
  <c r="F5" i="5"/>
  <c r="I2" i="5"/>
  <c r="C12" i="6" s="1"/>
  <c r="H2" i="5"/>
  <c r="F2" i="5"/>
  <c r="I8" i="1"/>
  <c r="H8" i="1"/>
  <c r="F8" i="1"/>
  <c r="I7" i="1"/>
  <c r="C7" i="6" s="1"/>
  <c r="I2" i="4"/>
  <c r="C10" i="6" s="1"/>
  <c r="I3" i="1"/>
  <c r="C3" i="6" s="1"/>
  <c r="I4" i="1"/>
  <c r="C4" i="6" s="1"/>
  <c r="I5" i="1"/>
  <c r="C5" i="6" s="1"/>
  <c r="I6" i="1"/>
  <c r="C6" i="6" s="1"/>
  <c r="I2" i="1"/>
  <c r="C2" i="6" s="1"/>
  <c r="H2" i="4"/>
  <c r="F2" i="4"/>
  <c r="H3" i="1"/>
  <c r="H4" i="1"/>
  <c r="H5" i="1"/>
  <c r="H6" i="1"/>
  <c r="H2" i="1"/>
  <c r="F3" i="1"/>
  <c r="F4" i="1"/>
  <c r="F5" i="1"/>
  <c r="F6" i="1"/>
  <c r="F2" i="1"/>
  <c r="C8" i="6" l="1"/>
  <c r="F7" i="1"/>
  <c r="H7" i="1"/>
</calcChain>
</file>

<file path=xl/sharedStrings.xml><?xml version="1.0" encoding="utf-8"?>
<sst xmlns="http://schemas.openxmlformats.org/spreadsheetml/2006/main" count="120" uniqueCount="57">
  <si>
    <t>Tipo de Licença</t>
  </si>
  <si>
    <t>Fabricante</t>
  </si>
  <si>
    <t>Microsoft Teams</t>
  </si>
  <si>
    <t>Microsoft</t>
  </si>
  <si>
    <t>Vendedor</t>
  </si>
  <si>
    <t>Data do Vencimento</t>
  </si>
  <si>
    <t>Status</t>
  </si>
  <si>
    <t>ID</t>
  </si>
  <si>
    <t>Contato</t>
  </si>
  <si>
    <t>Statudo</t>
  </si>
  <si>
    <t>Válida</t>
  </si>
  <si>
    <t>Vencimento Próximo</t>
  </si>
  <si>
    <t>Vencida</t>
  </si>
  <si>
    <t>Andamento</t>
  </si>
  <si>
    <t>Responsável</t>
  </si>
  <si>
    <t>BackupExec</t>
  </si>
  <si>
    <t>Brasoftware</t>
  </si>
  <si>
    <t>Veritas</t>
  </si>
  <si>
    <t>telefone contato</t>
  </si>
  <si>
    <t>TeamViewer</t>
  </si>
  <si>
    <t>Qtd. Licenças</t>
  </si>
  <si>
    <t>Dias vencimento</t>
  </si>
  <si>
    <t>Certificado</t>
  </si>
  <si>
    <t>Dias para vencimento</t>
  </si>
  <si>
    <t>JivoChaat</t>
  </si>
  <si>
    <t>JivoChat</t>
  </si>
  <si>
    <t>Responsável emissao</t>
  </si>
  <si>
    <t>Não será renovado de acordo com Lucio (respnsável pela renovação).</t>
  </si>
  <si>
    <t>Oracle</t>
  </si>
  <si>
    <t>Suporte Oracle</t>
  </si>
  <si>
    <t>Ativa</t>
  </si>
  <si>
    <t>Cancelada</t>
  </si>
  <si>
    <t>Vivo</t>
  </si>
  <si>
    <t>RegistroBR</t>
  </si>
  <si>
    <t>Ti</t>
  </si>
  <si>
    <t>Certificado Remote App</t>
  </si>
  <si>
    <t>Item</t>
  </si>
  <si>
    <t>Tipo</t>
  </si>
  <si>
    <t>DiasParaVencer</t>
  </si>
  <si>
    <t>Licença</t>
  </si>
  <si>
    <t>Certiticado</t>
  </si>
  <si>
    <t>Dominio</t>
  </si>
  <si>
    <t>Adobe PRO</t>
  </si>
  <si>
    <t>Adobe Acrobat</t>
  </si>
  <si>
    <t>Adobe</t>
  </si>
  <si>
    <t>Não foi renovada, Araci esta de acordo.</t>
  </si>
  <si>
    <t>Dell</t>
  </si>
  <si>
    <t>USED.COM.BR</t>
  </si>
  <si>
    <t>USAS.COM.BR</t>
  </si>
  <si>
    <t>USOS.COM.BR</t>
  </si>
  <si>
    <t>USUS.COM.BR</t>
  </si>
  <si>
    <t>Observação</t>
  </si>
  <si>
    <t>usuario.silveira@email.com</t>
  </si>
  <si>
    <t>usuaria.peres@email.com</t>
  </si>
  <si>
    <t>Certificado A1</t>
  </si>
  <si>
    <t>empresa1</t>
  </si>
  <si>
    <t>empresa2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</si>
</sst>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1"/>
    <xf numFmtId="0" fontId="0" fillId="0" borderId="0" xfId="0" applyAlignment="1">
      <alignment horizontal="center"/>
    </xf>
    <xf numFmtId="1" fontId="0" fillId="0" borderId="0" xfId="0" applyNumberFormat="1"/>
    <xf numFmtId="0" fontId="0" fillId="0" borderId="0" xfId="0" applyAlignment="1">
      <alignment horizontal="left"/>
    </xf>
    <xf numFmtId="0" fontId="1" fillId="0" borderId="0" xfId="1" applyAlignment="1">
      <alignment horizontal="left" vertical="center" wrapText="1"/>
    </xf>
    <xf numFmtId="0" fontId="0" fillId="0" borderId="0" xfId="0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1" fontId="2" fillId="0" borderId="0" xfId="0" applyNumberFormat="1" applyFont="1" applyAlignment="1" applyProtection="1">
      <alignment horizontal="center"/>
      <protection locked="0"/>
    </xf>
    <xf numFmtId="14" fontId="0" fillId="0" borderId="0" xfId="0" applyNumberFormat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1" fillId="0" borderId="0" xfId="1" applyAlignment="1">
      <alignment horizontal="left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usuaria.peres@email.com" TargetMode="External"/><Relationship Id="rId3" Type="http://schemas.openxmlformats.org/officeDocument/2006/relationships/hyperlink" Target="mailto:usuario.silveira@email.com" TargetMode="External"/><Relationship Id="rId7" Type="http://schemas.openxmlformats.org/officeDocument/2006/relationships/hyperlink" Target="mailto:usuario.silveira@email.com" TargetMode="External"/><Relationship Id="rId2" Type="http://schemas.openxmlformats.org/officeDocument/2006/relationships/hyperlink" Target="mailto:usuaria.peres@email.com" TargetMode="External"/><Relationship Id="rId1" Type="http://schemas.openxmlformats.org/officeDocument/2006/relationships/hyperlink" Target="mailto:usuario.silveira@email.com" TargetMode="External"/><Relationship Id="rId6" Type="http://schemas.openxmlformats.org/officeDocument/2006/relationships/hyperlink" Target="mailto:usuaria.peres@email.com" TargetMode="External"/><Relationship Id="rId5" Type="http://schemas.openxmlformats.org/officeDocument/2006/relationships/hyperlink" Target="mailto:usuario.silveira@email.com" TargetMode="External"/><Relationship Id="rId4" Type="http://schemas.openxmlformats.org/officeDocument/2006/relationships/hyperlink" Target="mailto:usuaria.peres@email.com" TargetMode="Externa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selection activeCell="G8" sqref="G8"/>
    </sheetView>
  </sheetViews>
  <sheetFormatPr defaultRowHeight="18.75" x14ac:dyDescent="0.3"/>
  <cols>
    <col min="1" max="1" width="2.85546875" bestFit="1" customWidth="1"/>
    <col min="2" max="2" width="15.7109375" bestFit="1" customWidth="1"/>
    <col min="3" max="3" width="12.5703125" bestFit="1" customWidth="1"/>
    <col min="4" max="4" width="14.28515625" bestFit="1" customWidth="1"/>
    <col min="5" max="5" width="12.28515625" bestFit="1" customWidth="1"/>
    <col min="6" max="6" width="20" style="11" bestFit="1" customWidth="1"/>
    <col min="7" max="7" width="19.28515625" style="9" bestFit="1" customWidth="1"/>
    <col min="8" max="8" width="6.42578125" style="10" bestFit="1" customWidth="1"/>
    <col min="9" max="9" width="20.28515625" style="10" bestFit="1" customWidth="1"/>
    <col min="10" max="10" width="35.5703125" bestFit="1" customWidth="1"/>
    <col min="11" max="11" width="10" bestFit="1" customWidth="1"/>
    <col min="12" max="12" width="16.28515625" customWidth="1"/>
    <col min="13" max="13" width="16" bestFit="1" customWidth="1"/>
    <col min="14" max="14" width="63.5703125" bestFit="1" customWidth="1"/>
  </cols>
  <sheetData>
    <row r="1" spans="1:14" ht="15" x14ac:dyDescent="0.25">
      <c r="A1" s="2" t="s">
        <v>7</v>
      </c>
      <c r="B1" s="2" t="s">
        <v>0</v>
      </c>
      <c r="C1" s="2" t="s">
        <v>20</v>
      </c>
      <c r="D1" s="2" t="s">
        <v>1</v>
      </c>
      <c r="E1" s="2" t="s">
        <v>4</v>
      </c>
      <c r="F1" s="6" t="s">
        <v>6</v>
      </c>
      <c r="G1" s="7" t="s">
        <v>5</v>
      </c>
      <c r="H1" s="7" t="s">
        <v>6</v>
      </c>
      <c r="I1" s="6" t="s">
        <v>23</v>
      </c>
      <c r="J1" s="2" t="s">
        <v>14</v>
      </c>
      <c r="K1" s="2" t="s">
        <v>6</v>
      </c>
      <c r="L1" s="2" t="s">
        <v>8</v>
      </c>
      <c r="M1" s="2" t="s">
        <v>18</v>
      </c>
      <c r="N1" s="2" t="s">
        <v>51</v>
      </c>
    </row>
    <row r="2" spans="1:14" x14ac:dyDescent="0.3">
      <c r="A2">
        <v>1</v>
      </c>
      <c r="B2" t="s">
        <v>2</v>
      </c>
      <c r="C2">
        <v>1</v>
      </c>
      <c r="D2" t="s">
        <v>3</v>
      </c>
      <c r="E2" t="s">
        <v>46</v>
      </c>
      <c r="F2" s="6" t="str">
        <f ca="1">IF(G2&lt;=TODAY(),Variaveis!$B$3,IF(G2&lt;=TODAY()+30,Variaveis!$B$2,Variaveis!$B$1))</f>
        <v>Válida</v>
      </c>
      <c r="G2" s="7">
        <v>48964</v>
      </c>
      <c r="H2" s="8">
        <f ca="1">_xlfn.DAYS(G2,TODAY())</f>
        <v>2893</v>
      </c>
      <c r="I2" s="6">
        <f t="shared" ref="I2:I8" ca="1" si="0">DAYS360(TODAY(),G2)</f>
        <v>2852</v>
      </c>
      <c r="J2" s="1" t="s">
        <v>52</v>
      </c>
      <c r="K2" s="3" t="s">
        <v>30</v>
      </c>
      <c r="N2" s="12"/>
    </row>
    <row r="3" spans="1:14" x14ac:dyDescent="0.3">
      <c r="A3">
        <v>2</v>
      </c>
      <c r="B3" t="s">
        <v>2</v>
      </c>
      <c r="C3">
        <v>20</v>
      </c>
      <c r="D3" t="s">
        <v>3</v>
      </c>
      <c r="E3" t="s">
        <v>32</v>
      </c>
      <c r="F3" s="6" t="str">
        <f ca="1">IF(G3&lt;=TODAY(),Variaveis!$B$3,IF(G3&lt;=TODAY()+30,Variaveis!$B$2,Variaveis!$B$1))</f>
        <v>Válida</v>
      </c>
      <c r="G3" s="7">
        <v>47572</v>
      </c>
      <c r="H3" s="8">
        <f t="shared" ref="H3:H6" ca="1" si="1">_xlfn.DAYS(G3,TODAY())</f>
        <v>1501</v>
      </c>
      <c r="I3" s="6">
        <f t="shared" ca="1" si="0"/>
        <v>1482</v>
      </c>
      <c r="J3" s="1" t="s">
        <v>53</v>
      </c>
      <c r="K3" t="s">
        <v>30</v>
      </c>
      <c r="N3" s="4"/>
    </row>
    <row r="4" spans="1:14" x14ac:dyDescent="0.3">
      <c r="A4">
        <v>3</v>
      </c>
      <c r="B4" t="s">
        <v>2</v>
      </c>
      <c r="C4">
        <v>15</v>
      </c>
      <c r="D4" t="s">
        <v>3</v>
      </c>
      <c r="E4" t="s">
        <v>32</v>
      </c>
      <c r="F4" s="6" t="str">
        <f ca="1">IF(G4&lt;=TODAY(),Variaveis!$B$3,IF(G4&lt;=TODAY()+30,Variaveis!$B$2,Variaveis!$B$1))</f>
        <v>Válida</v>
      </c>
      <c r="G4" s="7">
        <v>47218</v>
      </c>
      <c r="H4" s="8">
        <f t="shared" ca="1" si="1"/>
        <v>1147</v>
      </c>
      <c r="I4" s="6">
        <f t="shared" ca="1" si="0"/>
        <v>1132</v>
      </c>
      <c r="J4" s="1" t="s">
        <v>52</v>
      </c>
      <c r="K4" t="s">
        <v>30</v>
      </c>
      <c r="N4" s="4"/>
    </row>
    <row r="5" spans="1:14" x14ac:dyDescent="0.3">
      <c r="A5">
        <v>4</v>
      </c>
      <c r="B5" t="s">
        <v>15</v>
      </c>
      <c r="C5">
        <v>1</v>
      </c>
      <c r="D5" t="s">
        <v>17</v>
      </c>
      <c r="E5" t="s">
        <v>16</v>
      </c>
      <c r="F5" s="6" t="str">
        <f ca="1">IF(G5&lt;=TODAY(),Variaveis!$B$3,IF(G5&lt;=TODAY()+30,Variaveis!$B$2,Variaveis!$B$1))</f>
        <v>Válida</v>
      </c>
      <c r="G5" s="7">
        <v>50221</v>
      </c>
      <c r="H5" s="8">
        <f t="shared" ca="1" si="1"/>
        <v>4150</v>
      </c>
      <c r="I5" s="6">
        <f t="shared" ca="1" si="0"/>
        <v>4092</v>
      </c>
      <c r="J5" s="1" t="s">
        <v>53</v>
      </c>
      <c r="K5" t="s">
        <v>30</v>
      </c>
      <c r="N5" s="5"/>
    </row>
    <row r="6" spans="1:14" x14ac:dyDescent="0.3">
      <c r="A6">
        <v>5</v>
      </c>
      <c r="B6" t="s">
        <v>19</v>
      </c>
      <c r="C6">
        <v>3</v>
      </c>
      <c r="D6" t="s">
        <v>19</v>
      </c>
      <c r="E6" t="s">
        <v>19</v>
      </c>
      <c r="F6" s="6" t="str">
        <f ca="1">IF(G6&lt;=TODAY(),Variaveis!$B$3,IF(G6&lt;=TODAY()+30,Variaveis!$B$2,Variaveis!$B$1))</f>
        <v>Válida</v>
      </c>
      <c r="G6" s="7">
        <v>50221</v>
      </c>
      <c r="H6" s="8">
        <f t="shared" ca="1" si="1"/>
        <v>4150</v>
      </c>
      <c r="I6" s="6">
        <f t="shared" ca="1" si="0"/>
        <v>4092</v>
      </c>
      <c r="J6" s="1" t="s">
        <v>52</v>
      </c>
      <c r="K6" t="s">
        <v>30</v>
      </c>
      <c r="N6" s="4"/>
    </row>
    <row r="7" spans="1:14" x14ac:dyDescent="0.3">
      <c r="A7">
        <v>6</v>
      </c>
      <c r="B7" t="s">
        <v>24</v>
      </c>
      <c r="C7">
        <v>1</v>
      </c>
      <c r="D7" t="s">
        <v>25</v>
      </c>
      <c r="E7" t="s">
        <v>25</v>
      </c>
      <c r="F7" s="6" t="str">
        <f ca="1">IF(G7&lt;=TODAY(),Variaveis!$B$3,IF(G7&lt;=TODAY()+30,Variaveis!$B$2,Variaveis!$B$1))</f>
        <v>Válida</v>
      </c>
      <c r="G7" s="7">
        <v>50221</v>
      </c>
      <c r="H7" s="8">
        <f t="shared" ref="H7:H8" ca="1" si="2">_xlfn.DAYS(G7,TODAY())</f>
        <v>4150</v>
      </c>
      <c r="I7" s="6">
        <f t="shared" ca="1" si="0"/>
        <v>4092</v>
      </c>
      <c r="J7" s="1" t="s">
        <v>53</v>
      </c>
      <c r="K7" t="s">
        <v>31</v>
      </c>
      <c r="N7" s="4" t="s">
        <v>27</v>
      </c>
    </row>
    <row r="8" spans="1:14" x14ac:dyDescent="0.3">
      <c r="A8">
        <v>7</v>
      </c>
      <c r="B8" t="s">
        <v>28</v>
      </c>
      <c r="C8">
        <v>1</v>
      </c>
      <c r="D8" t="s">
        <v>29</v>
      </c>
      <c r="E8" t="s">
        <v>28</v>
      </c>
      <c r="F8" s="6" t="str">
        <f ca="1">IF(G8&lt;=TODAY(),Variaveis!$B$3,IF(G8&lt;=TODAY()+30,Variaveis!$B$2,Variaveis!$B$1))</f>
        <v>Válida</v>
      </c>
      <c r="G8" s="7">
        <v>48964</v>
      </c>
      <c r="H8" s="8">
        <f t="shared" ca="1" si="2"/>
        <v>2893</v>
      </c>
      <c r="I8" s="6">
        <f t="shared" ca="1" si="0"/>
        <v>2852</v>
      </c>
      <c r="J8" s="1" t="s">
        <v>52</v>
      </c>
      <c r="K8" t="s">
        <v>31</v>
      </c>
      <c r="N8" t="s">
        <v>45</v>
      </c>
    </row>
    <row r="9" spans="1:14" x14ac:dyDescent="0.3">
      <c r="A9">
        <v>8</v>
      </c>
      <c r="B9" t="s">
        <v>42</v>
      </c>
      <c r="C9">
        <v>1</v>
      </c>
      <c r="D9" t="s">
        <v>43</v>
      </c>
      <c r="E9" t="s">
        <v>44</v>
      </c>
      <c r="F9" s="6" t="str">
        <f ca="1">IF(G9&lt;=TODAY(),Variaveis!$B$3,IF(G9&lt;=TODAY()+30,Variaveis!$B$2,Variaveis!$B$1))</f>
        <v>Válida</v>
      </c>
      <c r="G9" s="7">
        <v>50221</v>
      </c>
      <c r="H9" s="8">
        <f t="shared" ref="H9" ca="1" si="3">_xlfn.DAYS(G9,TODAY())</f>
        <v>4150</v>
      </c>
      <c r="I9" s="6">
        <f t="shared" ref="I9" ca="1" si="4">DAYS360(TODAY(),G9)</f>
        <v>4092</v>
      </c>
      <c r="J9" s="1" t="s">
        <v>53</v>
      </c>
      <c r="K9" t="s">
        <v>30</v>
      </c>
      <c r="N9" s="1"/>
    </row>
    <row r="10" spans="1:14" x14ac:dyDescent="0.3">
      <c r="F10" s="9"/>
    </row>
  </sheetData>
  <conditionalFormatting sqref="H2:H9">
    <cfRule type="iconSet" priority="1">
      <iconSet showValue="0">
        <cfvo type="percent" val="0"/>
        <cfvo type="num" val="20"/>
        <cfvo type="num" val="30"/>
      </iconSet>
    </cfRule>
  </conditionalFormatting>
  <hyperlinks>
    <hyperlink ref="J2" r:id="rId1" xr:uid="{065C8010-EC73-4997-9A74-193F6694D409}"/>
    <hyperlink ref="J3" r:id="rId2" xr:uid="{6FD924E1-8A8E-4BE3-8180-66822777733F}"/>
    <hyperlink ref="J4" r:id="rId3" xr:uid="{F45FBE31-E55A-4DDD-90FA-A707925D7771}"/>
    <hyperlink ref="J5" r:id="rId4" xr:uid="{3D8BAE69-CFD8-4EA5-B722-EAD7826E681A}"/>
    <hyperlink ref="J6" r:id="rId5" xr:uid="{4C00D06D-1059-43C8-BC9F-8598C5269DDB}"/>
    <hyperlink ref="J7" r:id="rId6" xr:uid="{AE9C99FB-12AD-4057-87E0-043BF1AE994A}"/>
    <hyperlink ref="J8" r:id="rId7" xr:uid="{C9F8FE93-7283-4F16-B971-E9F36A612B9C}"/>
    <hyperlink ref="J9" r:id="rId8" xr:uid="{04A0A215-9516-4F1A-B6D2-FC455B43C70F}"/>
  </hyperlinks>
  <pageMargins left="0.511811024" right="0.511811024" top="0.78740157499999996" bottom="0.78740157499999996" header="0.31496062000000002" footer="0.31496062000000002"/>
  <pageSetup paperSize="9" orientation="portrait" r:id="rId9"/>
  <ignoredErrors>
    <ignoredError sqref="H3:H9 I6:I9 F2:F9 I3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"/>
  <sheetViews>
    <sheetView topLeftCell="A2" workbookViewId="0">
      <selection activeCell="D31" sqref="D30:D31"/>
    </sheetView>
  </sheetViews>
  <sheetFormatPr defaultRowHeight="18.75" x14ac:dyDescent="0.3"/>
  <cols>
    <col min="1" max="1" width="2.85546875" bestFit="1" customWidth="1"/>
    <col min="2" max="2" width="29" bestFit="1" customWidth="1"/>
    <col min="3" max="3" width="12.5703125" bestFit="1" customWidth="1"/>
    <col min="4" max="4" width="12.28515625" bestFit="1" customWidth="1"/>
    <col min="5" max="5" width="20.140625" bestFit="1" customWidth="1"/>
    <col min="6" max="6" width="20.28515625" style="11" customWidth="1"/>
    <col min="7" max="7" width="19.28515625" style="9" bestFit="1" customWidth="1"/>
    <col min="8" max="8" width="15" style="10" bestFit="1" customWidth="1"/>
    <col min="9" max="9" width="15" style="10" customWidth="1"/>
    <col min="10" max="10" width="35.5703125" bestFit="1" customWidth="1"/>
    <col min="11" max="11" width="11.42578125" bestFit="1" customWidth="1"/>
    <col min="12" max="12" width="12.7109375" bestFit="1" customWidth="1"/>
  </cols>
  <sheetData>
    <row r="1" spans="1:12" ht="15" x14ac:dyDescent="0.25">
      <c r="A1" s="2" t="s">
        <v>7</v>
      </c>
      <c r="B1" s="2" t="s">
        <v>0</v>
      </c>
      <c r="C1" s="2" t="s">
        <v>20</v>
      </c>
      <c r="D1" s="2" t="s">
        <v>1</v>
      </c>
      <c r="E1" s="2" t="s">
        <v>26</v>
      </c>
      <c r="F1" s="6" t="s">
        <v>6</v>
      </c>
      <c r="G1" s="7" t="s">
        <v>5</v>
      </c>
      <c r="H1" s="7" t="s">
        <v>21</v>
      </c>
      <c r="I1" s="7" t="s">
        <v>21</v>
      </c>
      <c r="J1" s="2" t="s">
        <v>14</v>
      </c>
      <c r="K1" s="2" t="s">
        <v>13</v>
      </c>
      <c r="L1" s="2" t="s">
        <v>8</v>
      </c>
    </row>
    <row r="2" spans="1:12" x14ac:dyDescent="0.3">
      <c r="A2">
        <v>1</v>
      </c>
      <c r="B2" t="s">
        <v>54</v>
      </c>
      <c r="C2">
        <v>1</v>
      </c>
      <c r="D2" t="s">
        <v>22</v>
      </c>
      <c r="E2" t="s">
        <v>56</v>
      </c>
      <c r="F2" s="6" t="str">
        <f ca="1">IF(G2&lt;=TODAY(),Variaveis!$B$3,IF(G2&lt;=TODAY()+30,Variaveis!$B$2,Variaveis!$B$1))</f>
        <v>Válida</v>
      </c>
      <c r="G2" s="7">
        <v>50221</v>
      </c>
      <c r="H2" s="8">
        <f ca="1">_xlfn.DAYS(G2,TODAY())</f>
        <v>4150</v>
      </c>
      <c r="I2" s="6">
        <f ca="1">DAYS360(TODAY(),G2)</f>
        <v>4092</v>
      </c>
      <c r="J2" s="1"/>
    </row>
    <row r="3" spans="1:12" x14ac:dyDescent="0.3">
      <c r="A3">
        <v>2</v>
      </c>
      <c r="B3" t="s">
        <v>35</v>
      </c>
      <c r="C3">
        <v>1</v>
      </c>
      <c r="D3" t="s">
        <v>22</v>
      </c>
      <c r="E3" t="s">
        <v>55</v>
      </c>
      <c r="F3" s="6" t="str">
        <f ca="1">IF(G3&lt;=TODAY(),Variaveis!$B$3,IF(G3&lt;=TODAY()+30,Variaveis!$B$2,Variaveis!$B$1))</f>
        <v>Válida</v>
      </c>
      <c r="G3" s="7">
        <v>50221</v>
      </c>
      <c r="H3" s="8">
        <f ca="1">_xlfn.DAYS(G3,TODAY())</f>
        <v>4150</v>
      </c>
      <c r="I3" s="6">
        <f ca="1">DAYS360(TODAY(),G3)</f>
        <v>4092</v>
      </c>
      <c r="J3" s="1"/>
    </row>
    <row r="4" spans="1:12" x14ac:dyDescent="0.3">
      <c r="F4" s="6"/>
      <c r="G4" s="7"/>
      <c r="H4" s="8"/>
      <c r="I4" s="8"/>
      <c r="J4" s="1"/>
    </row>
    <row r="5" spans="1:12" x14ac:dyDescent="0.3">
      <c r="F5" s="6"/>
      <c r="G5" s="7"/>
      <c r="H5" s="8"/>
      <c r="I5" s="8"/>
      <c r="J5" s="1"/>
    </row>
  </sheetData>
  <conditionalFormatting sqref="H4:I5 H2:H3">
    <cfRule type="iconSet" priority="1">
      <iconSet showValue="0">
        <cfvo type="percent" val="0"/>
        <cfvo type="num" val="20"/>
        <cfvo type="num" val="30"/>
      </iconSet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"/>
  <sheetViews>
    <sheetView workbookViewId="0">
      <selection activeCell="I2" sqref="I2"/>
    </sheetView>
  </sheetViews>
  <sheetFormatPr defaultRowHeight="18.75" x14ac:dyDescent="0.3"/>
  <cols>
    <col min="1" max="1" width="2.85546875" bestFit="1" customWidth="1"/>
    <col min="2" max="2" width="30.7109375" bestFit="1" customWidth="1"/>
    <col min="3" max="3" width="12.5703125" bestFit="1" customWidth="1"/>
    <col min="4" max="4" width="12.28515625" bestFit="1" customWidth="1"/>
    <col min="5" max="5" width="12.140625" bestFit="1" customWidth="1"/>
    <col min="6" max="6" width="6.5703125" style="11" bestFit="1" customWidth="1"/>
    <col min="7" max="7" width="19.28515625" style="9" bestFit="1" customWidth="1"/>
    <col min="8" max="8" width="15" style="10" bestFit="1" customWidth="1"/>
    <col min="9" max="9" width="15" style="10" customWidth="1"/>
    <col min="10" max="10" width="35.5703125" bestFit="1" customWidth="1"/>
    <col min="11" max="11" width="11.42578125" bestFit="1" customWidth="1"/>
    <col min="12" max="12" width="12.7109375" bestFit="1" customWidth="1"/>
  </cols>
  <sheetData>
    <row r="1" spans="1:12" ht="15" x14ac:dyDescent="0.25">
      <c r="A1" s="2" t="s">
        <v>7</v>
      </c>
      <c r="B1" s="2" t="s">
        <v>0</v>
      </c>
      <c r="C1" s="2" t="s">
        <v>20</v>
      </c>
      <c r="D1" s="2" t="s">
        <v>1</v>
      </c>
      <c r="E1" s="2" t="s">
        <v>14</v>
      </c>
      <c r="F1" s="6" t="s">
        <v>6</v>
      </c>
      <c r="G1" s="7" t="s">
        <v>5</v>
      </c>
      <c r="H1" s="7" t="s">
        <v>21</v>
      </c>
      <c r="I1" s="7" t="s">
        <v>21</v>
      </c>
      <c r="J1" s="2" t="s">
        <v>14</v>
      </c>
      <c r="K1" s="2" t="s">
        <v>13</v>
      </c>
      <c r="L1" s="2" t="s">
        <v>8</v>
      </c>
    </row>
    <row r="2" spans="1:12" x14ac:dyDescent="0.3">
      <c r="A2">
        <v>1</v>
      </c>
      <c r="B2" t="s">
        <v>47</v>
      </c>
      <c r="C2">
        <v>1</v>
      </c>
      <c r="D2" t="s">
        <v>33</v>
      </c>
      <c r="E2" t="s">
        <v>34</v>
      </c>
      <c r="F2" s="6" t="str">
        <f ca="1">IF(G2&lt;=TODAY(),Variaveis!$B$3,IF(G2&lt;=TODAY()+30,Variaveis!$B$2,Variaveis!$B$1))</f>
        <v>Válida</v>
      </c>
      <c r="G2" s="7">
        <v>47375</v>
      </c>
      <c r="H2" s="8">
        <f ca="1">_xlfn.DAYS(G2,TODAY())</f>
        <v>1304</v>
      </c>
      <c r="I2" s="6">
        <f ca="1">DAYS360(TODAY(),G2)</f>
        <v>1286</v>
      </c>
      <c r="J2" s="1"/>
    </row>
    <row r="3" spans="1:12" x14ac:dyDescent="0.3">
      <c r="A3">
        <v>2</v>
      </c>
      <c r="B3" t="s">
        <v>48</v>
      </c>
      <c r="C3">
        <v>1</v>
      </c>
      <c r="D3" t="s">
        <v>33</v>
      </c>
      <c r="E3" t="s">
        <v>34</v>
      </c>
      <c r="F3" s="6" t="str">
        <f ca="1">IF(G3&lt;=TODAY(),Variaveis!$B$3,IF(G3&lt;=TODAY()+30,Variaveis!$B$2,Variaveis!$B$1))</f>
        <v>Válida</v>
      </c>
      <c r="G3" s="7">
        <v>47265</v>
      </c>
      <c r="H3" s="8">
        <f t="shared" ref="H3:H5" ca="1" si="0">_xlfn.DAYS(G3,TODAY())</f>
        <v>1194</v>
      </c>
      <c r="I3" s="6">
        <f t="shared" ref="I3:I5" ca="1" si="1">DAYS360(TODAY(),G3)</f>
        <v>1179</v>
      </c>
      <c r="J3" s="1"/>
    </row>
    <row r="4" spans="1:12" x14ac:dyDescent="0.3">
      <c r="A4">
        <v>3</v>
      </c>
      <c r="B4" t="s">
        <v>49</v>
      </c>
      <c r="C4">
        <v>1</v>
      </c>
      <c r="D4" t="s">
        <v>33</v>
      </c>
      <c r="E4" t="s">
        <v>34</v>
      </c>
      <c r="F4" s="6" t="str">
        <f ca="1">IF(G4&lt;=TODAY(),Variaveis!$B$3,IF(G4&lt;=TODAY()+30,Variaveis!$B$2,Variaveis!$B$1))</f>
        <v>Válida</v>
      </c>
      <c r="G4" s="7">
        <v>47293</v>
      </c>
      <c r="H4" s="8">
        <f t="shared" ca="1" si="0"/>
        <v>1222</v>
      </c>
      <c r="I4" s="6">
        <f t="shared" ca="1" si="1"/>
        <v>1206</v>
      </c>
      <c r="J4" s="1"/>
    </row>
    <row r="5" spans="1:12" x14ac:dyDescent="0.3">
      <c r="A5">
        <v>4</v>
      </c>
      <c r="B5" t="s">
        <v>50</v>
      </c>
      <c r="C5">
        <v>1</v>
      </c>
      <c r="D5" t="s">
        <v>33</v>
      </c>
      <c r="E5" t="s">
        <v>34</v>
      </c>
      <c r="F5" s="6" t="str">
        <f ca="1">IF(G5&lt;=TODAY(),Variaveis!$B$3,IF(G5&lt;=TODAY()+30,Variaveis!$B$2,Variaveis!$B$1))</f>
        <v>Válida</v>
      </c>
      <c r="G5" s="7">
        <v>46371</v>
      </c>
      <c r="H5" s="8">
        <f t="shared" ca="1" si="0"/>
        <v>300</v>
      </c>
      <c r="I5" s="6">
        <f t="shared" ca="1" si="1"/>
        <v>297</v>
      </c>
      <c r="J5" s="1"/>
    </row>
  </sheetData>
  <conditionalFormatting sqref="H2:H5">
    <cfRule type="iconSet" priority="1">
      <iconSet showValue="0">
        <cfvo type="percent" val="0"/>
        <cfvo type="num" val="20"/>
        <cfvo type="num" val="30"/>
      </iconSet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workbookViewId="0">
      <selection activeCell="B2" sqref="B2"/>
    </sheetView>
  </sheetViews>
  <sheetFormatPr defaultRowHeight="15" x14ac:dyDescent="0.25"/>
  <cols>
    <col min="1" max="2" width="20" bestFit="1" customWidth="1"/>
  </cols>
  <sheetData>
    <row r="1" spans="1:2" x14ac:dyDescent="0.25">
      <c r="A1" t="s">
        <v>9</v>
      </c>
      <c r="B1" t="s">
        <v>10</v>
      </c>
    </row>
    <row r="2" spans="1:2" x14ac:dyDescent="0.25">
      <c r="B2" t="s">
        <v>11</v>
      </c>
    </row>
    <row r="3" spans="1:2" x14ac:dyDescent="0.25">
      <c r="B3" t="s">
        <v>12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5"/>
  <sheetViews>
    <sheetView workbookViewId="0">
      <selection activeCell="A10" sqref="A10"/>
    </sheetView>
  </sheetViews>
  <sheetFormatPr defaultRowHeight="15" x14ac:dyDescent="0.25"/>
  <cols>
    <col min="1" max="1" width="30.7109375" customWidth="1"/>
    <col min="2" max="2" width="15.85546875" customWidth="1"/>
    <col min="3" max="3" width="18.140625" style="11" customWidth="1"/>
  </cols>
  <sheetData>
    <row r="1" spans="1:3" x14ac:dyDescent="0.25">
      <c r="A1" t="s">
        <v>36</v>
      </c>
      <c r="B1" t="s">
        <v>37</v>
      </c>
      <c r="C1" s="11" t="s">
        <v>38</v>
      </c>
    </row>
    <row r="2" spans="1:3" x14ac:dyDescent="0.25">
      <c r="A2" t="str">
        <f>Licencas!B2</f>
        <v>Microsoft Teams</v>
      </c>
      <c r="B2" t="s">
        <v>39</v>
      </c>
      <c r="C2" s="11">
        <f ca="1">Licencas!I2</f>
        <v>2852</v>
      </c>
    </row>
    <row r="3" spans="1:3" x14ac:dyDescent="0.25">
      <c r="A3" t="str">
        <f>Licencas!B3</f>
        <v>Microsoft Teams</v>
      </c>
      <c r="B3" t="s">
        <v>39</v>
      </c>
      <c r="C3" s="11">
        <f ca="1">Licencas!I3</f>
        <v>1482</v>
      </c>
    </row>
    <row r="4" spans="1:3" x14ac:dyDescent="0.25">
      <c r="A4" t="str">
        <f>Licencas!B4</f>
        <v>Microsoft Teams</v>
      </c>
      <c r="B4" t="s">
        <v>39</v>
      </c>
      <c r="C4" s="11">
        <f ca="1">Licencas!I4</f>
        <v>1132</v>
      </c>
    </row>
    <row r="5" spans="1:3" x14ac:dyDescent="0.25">
      <c r="A5" t="str">
        <f>Licencas!B5</f>
        <v>BackupExec</v>
      </c>
      <c r="B5" t="s">
        <v>39</v>
      </c>
      <c r="C5" s="11">
        <f ca="1">Licencas!I5</f>
        <v>4092</v>
      </c>
    </row>
    <row r="6" spans="1:3" x14ac:dyDescent="0.25">
      <c r="A6" t="str">
        <f>Licencas!B6</f>
        <v>TeamViewer</v>
      </c>
      <c r="B6" t="s">
        <v>39</v>
      </c>
      <c r="C6" s="11">
        <f ca="1">Licencas!I6</f>
        <v>4092</v>
      </c>
    </row>
    <row r="7" spans="1:3" x14ac:dyDescent="0.25">
      <c r="A7" t="str">
        <f>Licencas!B7</f>
        <v>JivoChaat</v>
      </c>
      <c r="B7" t="s">
        <v>39</v>
      </c>
      <c r="C7" s="11">
        <f ca="1">Licencas!I7</f>
        <v>4092</v>
      </c>
    </row>
    <row r="8" spans="1:3" x14ac:dyDescent="0.25">
      <c r="A8" t="str">
        <f>Licencas!B8</f>
        <v>Oracle</v>
      </c>
      <c r="B8" t="s">
        <v>39</v>
      </c>
      <c r="C8" s="11">
        <f ca="1">Licencas!I8</f>
        <v>2852</v>
      </c>
    </row>
    <row r="9" spans="1:3" x14ac:dyDescent="0.25">
      <c r="A9" t="s">
        <v>42</v>
      </c>
      <c r="B9" t="s">
        <v>39</v>
      </c>
      <c r="C9" s="11">
        <f ca="1">Licencas!I9</f>
        <v>4092</v>
      </c>
    </row>
    <row r="10" spans="1:3" x14ac:dyDescent="0.25">
      <c r="A10" t="str">
        <f>Certificados!B2</f>
        <v>Certificado A1</v>
      </c>
      <c r="B10" t="s">
        <v>40</v>
      </c>
      <c r="C10" s="11">
        <f ca="1">Certificados!I2</f>
        <v>4092</v>
      </c>
    </row>
    <row r="11" spans="1:3" x14ac:dyDescent="0.25">
      <c r="A11" t="str">
        <f>Certificados!B3</f>
        <v>Certificado Remote App</v>
      </c>
      <c r="B11" t="s">
        <v>40</v>
      </c>
      <c r="C11" s="11">
        <f ca="1">Certificados!I3</f>
        <v>4092</v>
      </c>
    </row>
    <row r="12" spans="1:3" x14ac:dyDescent="0.25">
      <c r="A12" t="str">
        <f>Dominios!B2</f>
        <v>USED.COM.BR</v>
      </c>
      <c r="B12" t="s">
        <v>41</v>
      </c>
      <c r="C12" s="11">
        <f ca="1">Dominios!I2</f>
        <v>1286</v>
      </c>
    </row>
    <row r="13" spans="1:3" x14ac:dyDescent="0.25">
      <c r="A13" t="str">
        <f>Dominios!B3</f>
        <v>USAS.COM.BR</v>
      </c>
      <c r="B13" t="s">
        <v>41</v>
      </c>
      <c r="C13" s="11">
        <f ca="1">Dominios!I3</f>
        <v>1179</v>
      </c>
    </row>
    <row r="14" spans="1:3" x14ac:dyDescent="0.25">
      <c r="A14" t="str">
        <f>Dominios!B4</f>
        <v>USOS.COM.BR</v>
      </c>
      <c r="B14" t="s">
        <v>41</v>
      </c>
      <c r="C14" s="11">
        <f ca="1">Dominios!I4</f>
        <v>1206</v>
      </c>
    </row>
    <row r="15" spans="1:3" x14ac:dyDescent="0.25">
      <c r="A15" t="str">
        <f>Dominios!B5</f>
        <v>USUS.COM.BR</v>
      </c>
      <c r="B15" t="s">
        <v>41</v>
      </c>
      <c r="C15" s="11">
        <f ca="1">Dominios!I5</f>
        <v>297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Licencas</vt:lpstr>
      <vt:lpstr>Certificados</vt:lpstr>
      <vt:lpstr>Dominios</vt:lpstr>
      <vt:lpstr>Variaveis</vt:lpstr>
      <vt:lpstr>DiasParaVencer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 Chagas</dc:creator>
  <cp:lastModifiedBy>Pablo Alberto</cp:lastModifiedBy>
  <dcterms:created xsi:type="dcterms:W3CDTF">2022-04-26T12:30:42Z</dcterms:created>
  <dcterms:modified xsi:type="dcterms:W3CDTF">2026-02-18T21:07:22Z</dcterms:modified>
</cp:coreProperties>
</file>